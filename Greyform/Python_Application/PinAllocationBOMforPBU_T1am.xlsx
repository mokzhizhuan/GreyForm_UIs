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kZhiZhuan\OneDrive - WINSYS TECHNOLOGY PTE LTD\Documents\GitHub\GreyForm_UI\Greyform\Python_Application\"/>
    </mc:Choice>
  </mc:AlternateContent>
  <xr:revisionPtr revIDLastSave="0" documentId="13_ncr:1_{DA6426C9-9275-4C56-9E4D-0ABEA90BC70C}" xr6:coauthVersionLast="47" xr6:coauthVersionMax="47" xr10:uidLastSave="{00000000-0000-0000-0000-000000000000}"/>
  <bookViews>
    <workbookView xWindow="-120" yWindow="-120" windowWidth="29040" windowHeight="15720" xr2:uid="{10577398-EA94-4D34-AF72-AAEF787949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18" i="1"/>
  <c r="H14" i="1"/>
  <c r="H17" i="1"/>
  <c r="H16" i="1"/>
  <c r="H12" i="1"/>
  <c r="H15" i="1"/>
  <c r="H10" i="1"/>
  <c r="H13" i="1"/>
  <c r="H8" i="1"/>
  <c r="H11" i="1"/>
  <c r="H9" i="1"/>
</calcChain>
</file>

<file path=xl/sharedStrings.xml><?xml version="1.0" encoding="utf-8"?>
<sst xmlns="http://schemas.openxmlformats.org/spreadsheetml/2006/main" count="304" uniqueCount="135">
  <si>
    <t>Wall</t>
  </si>
  <si>
    <t>S/No.</t>
  </si>
  <si>
    <t>Penetration/Fitting/Reference Point Name</t>
  </si>
  <si>
    <t>Type</t>
  </si>
  <si>
    <t>Shape</t>
  </si>
  <si>
    <t>Pins</t>
  </si>
  <si>
    <t>Pin Type</t>
  </si>
  <si>
    <t>Pin ID</t>
  </si>
  <si>
    <t>Stage 1</t>
  </si>
  <si>
    <t>Stage 2</t>
  </si>
  <si>
    <t>Stage 3</t>
  </si>
  <si>
    <t>Fitting</t>
  </si>
  <si>
    <t>Rectangle</t>
  </si>
  <si>
    <t>LP</t>
  </si>
  <si>
    <t>LP1S3a1</t>
  </si>
  <si>
    <t>ü</t>
  </si>
  <si>
    <t>LP1S3a2</t>
  </si>
  <si>
    <t>LP1S3a3</t>
  </si>
  <si>
    <t>LP1S3a4</t>
  </si>
  <si>
    <t>Round</t>
  </si>
  <si>
    <t>Basic Wall:BSS.20mm Wall Finishes</t>
  </si>
  <si>
    <t>TMP</t>
  </si>
  <si>
    <t>Wall 2</t>
  </si>
  <si>
    <t>TMP2S2b1</t>
  </si>
  <si>
    <t>TMP2S2b2</t>
  </si>
  <si>
    <t>TMP2S2a1</t>
  </si>
  <si>
    <t>TMP2S2a2</t>
  </si>
  <si>
    <t>Wall 3</t>
  </si>
  <si>
    <t>LP3S3a1</t>
  </si>
  <si>
    <t>LP3S3a2</t>
  </si>
  <si>
    <t>LP3S3a3</t>
  </si>
  <si>
    <t>LP3S3a4</t>
  </si>
  <si>
    <t>BSS.HAND SHOWER SET.MASTER BATH</t>
  </si>
  <si>
    <t>Tile</t>
  </si>
  <si>
    <t>Tiles</t>
  </si>
  <si>
    <t>TMP3S2a1</t>
  </si>
  <si>
    <t>TMP3S2a2</t>
  </si>
  <si>
    <t>TMP3S2a3</t>
  </si>
  <si>
    <t>TMP3S2a4</t>
  </si>
  <si>
    <t>Wall 4</t>
  </si>
  <si>
    <t>TMP4S2a1</t>
  </si>
  <si>
    <t>TMP4S2a3</t>
  </si>
  <si>
    <t>TMP4S2a4</t>
  </si>
  <si>
    <t>TMP4S2a2</t>
  </si>
  <si>
    <t>Wall 5</t>
  </si>
  <si>
    <t>BOX-UP</t>
  </si>
  <si>
    <t>TMP5S2a1</t>
  </si>
  <si>
    <t>TMP5S2a2</t>
  </si>
  <si>
    <t>TMP5S2a3</t>
  </si>
  <si>
    <t>Wall 6</t>
  </si>
  <si>
    <t>Wall 7</t>
  </si>
  <si>
    <t>Floor:BSS.20mm Floor Finishes (600x150mm)</t>
  </si>
  <si>
    <t>TMP7S2b4</t>
  </si>
  <si>
    <t>TMP7S2d1</t>
  </si>
  <si>
    <t>TMP7S2e1</t>
  </si>
  <si>
    <t>Floor:BSS.20mm Floor Finishes (600x600mm)</t>
  </si>
  <si>
    <t>T1am</t>
  </si>
  <si>
    <t>TMP7S2a1</t>
  </si>
  <si>
    <t>TMP7S2a2</t>
  </si>
  <si>
    <t>TMP7S2a3</t>
  </si>
  <si>
    <t>TMP7S2a4</t>
  </si>
  <si>
    <t>TMP7S2b1</t>
  </si>
  <si>
    <t>TMP7S2a5</t>
  </si>
  <si>
    <t>TMP7S2a6</t>
  </si>
  <si>
    <t>TMP7S2a7</t>
  </si>
  <si>
    <t>TMP7S2b2</t>
  </si>
  <si>
    <t>TMP7S2b3</t>
  </si>
  <si>
    <t>TMP7S2b5</t>
  </si>
  <si>
    <t>TMP7S2b6</t>
  </si>
  <si>
    <t>TMP7S2b7</t>
  </si>
  <si>
    <t>TMP7S2c1</t>
  </si>
  <si>
    <t>TMP7S2c2</t>
  </si>
  <si>
    <t>TMP7S2d2</t>
  </si>
  <si>
    <t>TMP7S2e2</t>
  </si>
  <si>
    <t>BSS.TECE.CHAIR BRACKET</t>
  </si>
  <si>
    <t>BSS.FLOOR DRAIN_150</t>
  </si>
  <si>
    <t>TMP1S2d1</t>
  </si>
  <si>
    <t>TMP1S2d2</t>
  </si>
  <si>
    <t>TMP1S2d3</t>
  </si>
  <si>
    <t>TMP1S2d4</t>
  </si>
  <si>
    <t>BSS.GESSI.SH</t>
  </si>
  <si>
    <t>TMP6S2a1</t>
  </si>
  <si>
    <t>TMP6S2a2</t>
  </si>
  <si>
    <t>TMP6S2a3</t>
  </si>
  <si>
    <t>TMP6S2a4</t>
  </si>
  <si>
    <t>TM62S2b1</t>
  </si>
  <si>
    <t>TM62S2b2</t>
  </si>
  <si>
    <t>TM62S2b3</t>
  </si>
  <si>
    <t>TM62S2b4</t>
  </si>
  <si>
    <t>BSS.TECE.AP</t>
  </si>
  <si>
    <t>BSS.GOMGO.TR.GG</t>
  </si>
  <si>
    <t>BSS.TECE.CONCEALED CISTERN</t>
  </si>
  <si>
    <t>LP5S3a1</t>
  </si>
  <si>
    <t>LP5S3a2</t>
  </si>
  <si>
    <t>LP5S3a3</t>
  </si>
  <si>
    <t>LP5S3b1</t>
  </si>
  <si>
    <t>LP5S3b2</t>
  </si>
  <si>
    <t>LP5S3b3</t>
  </si>
  <si>
    <t>BSS.MIRROR CABINET.C5-MASTER BATH</t>
  </si>
  <si>
    <t>LP5S3c1</t>
  </si>
  <si>
    <t>LP5S3c2</t>
  </si>
  <si>
    <t>LP5S3c3</t>
  </si>
  <si>
    <t>LP5S3c4</t>
  </si>
  <si>
    <t>LP5S3d1</t>
  </si>
  <si>
    <t>LP5S3d2</t>
  </si>
  <si>
    <t>LP5S3d3</t>
  </si>
  <si>
    <t>LP5S3d4</t>
  </si>
  <si>
    <t>BSS.BASIN CABINET.C5-MASTER BATH</t>
  </si>
  <si>
    <t>LP5S3a4</t>
  </si>
  <si>
    <t>LP5S3b4</t>
  </si>
  <si>
    <t>LP5S3a5</t>
  </si>
  <si>
    <t>BSS.FLOOR DRAIN_100</t>
  </si>
  <si>
    <t>LP7S3a1</t>
  </si>
  <si>
    <t>LP7S3a2</t>
  </si>
  <si>
    <t>LP7S3a3</t>
  </si>
  <si>
    <t>LP7S3a4</t>
  </si>
  <si>
    <t>LP7S3b1</t>
  </si>
  <si>
    <t>LP7S3b2</t>
  </si>
  <si>
    <t>LP7S3b3</t>
  </si>
  <si>
    <t>LP7S3b4</t>
  </si>
  <si>
    <t>LP5S3b5</t>
  </si>
  <si>
    <t>LP4S3a1</t>
  </si>
  <si>
    <t>LP4S3a2</t>
  </si>
  <si>
    <t>BSS.GOMGO.PH.GG-6106</t>
  </si>
  <si>
    <t>TMP5S2b1</t>
  </si>
  <si>
    <t>TMP5S2b2</t>
  </si>
  <si>
    <t>TMP5S2b3</t>
  </si>
  <si>
    <t>TMP5S2b4</t>
  </si>
  <si>
    <t>BSS.GESSI.SM.49079</t>
  </si>
  <si>
    <t>LP3S3b1</t>
  </si>
  <si>
    <t>LP3S3b2</t>
  </si>
  <si>
    <t>LP3S3b3</t>
  </si>
  <si>
    <t>LP3S3b4</t>
  </si>
  <si>
    <t>Wall 1</t>
  </si>
  <si>
    <t>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</si>
</sst>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Wingdings"/>
      <charset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4" fillId="2" borderId="0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2" borderId="8" xfId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8" xfId="0" applyBorder="1"/>
    <xf numFmtId="0" fontId="0" fillId="0" borderId="10" xfId="0" applyBorder="1"/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4" fillId="2" borderId="12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4" fillId="2" borderId="13" xfId="1" applyFont="1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3" fillId="0" borderId="12" xfId="0" applyFont="1" applyBorder="1" applyAlignment="1">
      <alignment vertical="center"/>
    </xf>
    <xf numFmtId="0" fontId="0" fillId="0" borderId="15" xfId="0" applyBorder="1"/>
    <xf numFmtId="0" fontId="3" fillId="0" borderId="1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2" borderId="15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2" borderId="10" xfId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410D-7727-4F15-9679-20A483A9E846}">
  <dimension ref="A1:Z106"/>
  <sheetViews>
    <sheetView tabSelected="1" topLeftCell="A39" workbookViewId="0">
      <selection activeCell="G46" sqref="G46"/>
    </sheetView>
  </sheetViews>
  <sheetFormatPr defaultRowHeight="15" x14ac:dyDescent="0.25"/>
  <cols>
    <col min="1" max="1" width="6.42578125" bestFit="1" customWidth="1"/>
    <col min="2" max="2" width="6" bestFit="1" customWidth="1"/>
    <col min="3" max="3" width="42.28515625" bestFit="1" customWidth="1"/>
    <col min="5" max="5" width="9.5703125" bestFit="1" customWidth="1"/>
    <col min="6" max="6" width="4.85546875" bestFit="1" customWidth="1"/>
    <col min="7" max="7" width="8.5703125" bestFit="1" customWidth="1"/>
    <col min="8" max="8" width="9.85546875" bestFit="1" customWidth="1"/>
    <col min="9" max="9" width="7.42578125" bestFit="1" customWidth="1"/>
    <col min="11" max="11" width="7.42578125" bestFit="1" customWidth="1"/>
    <col min="20" max="20" width="12.42578125" bestFit="1" customWidth="1"/>
  </cols>
  <sheetData>
    <row r="1" spans="1:26" x14ac:dyDescent="0.25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26" ht="15.75" thickBot="1" x14ac:dyDescent="0.3">
      <c r="A2" s="36" t="s">
        <v>56</v>
      </c>
      <c r="B2" s="37"/>
      <c r="C2" s="37"/>
      <c r="D2" s="37"/>
      <c r="E2" s="37"/>
      <c r="F2" s="37"/>
      <c r="G2" s="37"/>
      <c r="H2" s="37"/>
      <c r="I2" s="37"/>
      <c r="J2" s="37"/>
      <c r="K2" s="38"/>
    </row>
    <row r="3" spans="1:26" ht="15.75" thickBot="1" x14ac:dyDescent="0.3">
      <c r="A3" s="5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6" t="s">
        <v>10</v>
      </c>
      <c r="T3" s="42"/>
      <c r="U3" s="42"/>
      <c r="V3" s="42"/>
      <c r="W3" s="42"/>
      <c r="X3" s="42"/>
      <c r="Y3" s="42"/>
      <c r="Z3" s="42"/>
    </row>
    <row r="4" spans="1:26" x14ac:dyDescent="0.25">
      <c r="A4" s="39" t="s">
        <v>133</v>
      </c>
      <c r="B4" s="2">
        <v>1</v>
      </c>
      <c r="C4" s="2" t="s">
        <v>90</v>
      </c>
      <c r="D4" s="2" t="s">
        <v>11</v>
      </c>
      <c r="E4" s="2" t="s">
        <v>19</v>
      </c>
      <c r="F4" s="2">
        <v>4</v>
      </c>
      <c r="G4" s="2" t="s">
        <v>13</v>
      </c>
      <c r="H4" s="2" t="s">
        <v>14</v>
      </c>
      <c r="I4" s="8"/>
      <c r="J4" s="8"/>
      <c r="K4" s="7" t="s">
        <v>15</v>
      </c>
      <c r="T4" s="43"/>
      <c r="U4" s="40"/>
      <c r="V4" s="40"/>
      <c r="W4" s="40"/>
      <c r="X4" s="41"/>
      <c r="Y4" s="43"/>
      <c r="Z4" s="43"/>
    </row>
    <row r="5" spans="1:26" x14ac:dyDescent="0.25">
      <c r="A5" s="33"/>
      <c r="B5" s="2"/>
      <c r="C5" s="3"/>
      <c r="D5" s="3"/>
      <c r="E5" s="3"/>
      <c r="F5" s="3"/>
      <c r="G5" s="3"/>
      <c r="H5" s="2" t="s">
        <v>16</v>
      </c>
      <c r="I5" s="8"/>
      <c r="J5" s="8"/>
      <c r="K5" s="7" t="s">
        <v>15</v>
      </c>
      <c r="T5" s="43"/>
      <c r="U5" s="41"/>
      <c r="V5" s="41"/>
      <c r="W5" s="41"/>
      <c r="X5" s="41"/>
      <c r="Y5" s="41"/>
      <c r="Z5" s="43"/>
    </row>
    <row r="6" spans="1:26" x14ac:dyDescent="0.25">
      <c r="A6" s="33"/>
      <c r="B6" s="2"/>
      <c r="C6" s="3"/>
      <c r="D6" s="3"/>
      <c r="E6" s="3"/>
      <c r="F6" s="3"/>
      <c r="G6" s="3"/>
      <c r="H6" s="2" t="s">
        <v>17</v>
      </c>
      <c r="I6" s="8"/>
      <c r="J6" s="8"/>
      <c r="K6" s="7" t="s">
        <v>15</v>
      </c>
      <c r="T6" s="43"/>
      <c r="U6" s="41"/>
      <c r="V6" s="41"/>
      <c r="W6" s="41"/>
      <c r="X6" s="41"/>
      <c r="Y6" s="41"/>
      <c r="Z6" s="43"/>
    </row>
    <row r="7" spans="1:26" x14ac:dyDescent="0.25">
      <c r="A7" s="33"/>
      <c r="B7" s="2"/>
      <c r="C7" s="3"/>
      <c r="D7" s="3"/>
      <c r="E7" s="3"/>
      <c r="F7" s="3"/>
      <c r="G7" s="3"/>
      <c r="H7" s="2" t="s">
        <v>18</v>
      </c>
      <c r="I7" s="8"/>
      <c r="J7" s="8"/>
      <c r="K7" s="7" t="s">
        <v>15</v>
      </c>
      <c r="T7" s="43"/>
      <c r="U7" s="41"/>
      <c r="V7" s="41"/>
      <c r="W7" s="41"/>
      <c r="X7" s="41"/>
      <c r="Y7" s="41"/>
      <c r="Z7" s="43"/>
    </row>
    <row r="8" spans="1:26" x14ac:dyDescent="0.25">
      <c r="A8" s="33"/>
      <c r="B8" s="2">
        <v>2</v>
      </c>
      <c r="C8" s="2" t="s">
        <v>80</v>
      </c>
      <c r="D8" s="2" t="s">
        <v>34</v>
      </c>
      <c r="E8" s="2" t="s">
        <v>134</v>
      </c>
      <c r="F8" s="2">
        <v>8</v>
      </c>
      <c r="G8" s="2" t="s">
        <v>21</v>
      </c>
      <c r="H8" s="2" t="str">
        <f>T7 &amp; MID(A4,6,LEN(A4)-5) &amp; IF(OR(D8="Pipe", I4="ü", I4=TRUE), "S1", IF(OR(D8="Tiles", J4="ü",  J4=TRUE), "S2", IF(OR(D8="Fitting", K4="ü", K4=TRUE), "S3", ""))) &amp; CHAR(96 + INT((ROW()-2)/4)) &amp; MOD(ROW()-2,4)-1</f>
        <v>1S2a1</v>
      </c>
      <c r="I8" s="8"/>
      <c r="J8" s="4" t="s">
        <v>15</v>
      </c>
      <c r="K8" s="9"/>
    </row>
    <row r="9" spans="1:26" x14ac:dyDescent="0.25">
      <c r="A9" s="33"/>
      <c r="B9" s="2"/>
      <c r="C9" s="3"/>
      <c r="D9" s="3"/>
      <c r="E9" s="3"/>
      <c r="F9" s="3"/>
      <c r="G9" s="3"/>
      <c r="H9" s="2" t="str">
        <f>T7 &amp; MID(A4,6,LEN(A4)-5) &amp; IF(OR(I4="✓", I4="ü", I4=TRUE), "S1", IF(OR(J4="✓", J4="ü",  J4=TRUE), "S2", IF(OR(K4="✓", K4="ü", K4=TRUE), "S3", ""))) &amp; CHAR(96 + INT((ROW()-2)/4)) &amp; MOD(ROW()-2,4)-1</f>
        <v>1S3a2</v>
      </c>
      <c r="I9" s="8"/>
      <c r="J9" s="4" t="s">
        <v>15</v>
      </c>
      <c r="K9" s="9"/>
    </row>
    <row r="10" spans="1:26" x14ac:dyDescent="0.25">
      <c r="A10" s="33"/>
      <c r="B10" s="2"/>
      <c r="C10" s="3"/>
      <c r="D10" s="3"/>
      <c r="E10" s="3"/>
      <c r="F10" s="3"/>
      <c r="G10" s="3"/>
      <c r="H10" s="2" t="str">
        <f>T7 &amp; MID(A4,6,LEN(A4)-5) &amp; IF(OR(I4="✓", I4="ü", I4=TRUE), "S1", IF(OR(J4="✓", J4="ü",  J4=TRUE), "S2", IF(OR(K4="✓", K4="ü", K4=TRUE), "S3", ""))) &amp; CHAR(96 + INT((ROW()-2)/4)-1) &amp; MOD(ROW()-2,4)+3</f>
        <v>1S3a3</v>
      </c>
      <c r="I10" s="8"/>
      <c r="J10" s="4" t="s">
        <v>15</v>
      </c>
      <c r="K10" s="9"/>
    </row>
    <row r="11" spans="1:26" x14ac:dyDescent="0.25">
      <c r="A11" s="33"/>
      <c r="B11" s="2"/>
      <c r="C11" s="3"/>
      <c r="D11" s="3"/>
      <c r="E11" s="3"/>
      <c r="F11" s="3"/>
      <c r="G11" s="3"/>
      <c r="H11" s="2" t="str">
        <f>T7 &amp; MID(A4,6,LEN(A4)-5) &amp; IF(OR(I4="✓", I4="ü", I4=TRUE), "S1", IF(OR(J4="✓", J4="ü",  J4=TRUE), "S2", IF(OR(K4="✓", K4="ü", K4=TRUE), "S3", ""))) &amp; CHAR(96 + INT((ROW()-2)/4)-1) &amp; MOD(ROW()-2,4)+3</f>
        <v>1S3a4</v>
      </c>
      <c r="I11" s="8"/>
      <c r="J11" s="4" t="s">
        <v>15</v>
      </c>
      <c r="K11" s="9"/>
    </row>
    <row r="12" spans="1:26" x14ac:dyDescent="0.25">
      <c r="A12" s="33"/>
      <c r="B12" s="2"/>
      <c r="C12" s="2" t="s">
        <v>20</v>
      </c>
      <c r="D12" s="2" t="s">
        <v>34</v>
      </c>
      <c r="E12" s="2" t="s">
        <v>134</v>
      </c>
      <c r="F12" s="3"/>
      <c r="G12" s="2" t="s">
        <v>21</v>
      </c>
      <c r="H12" s="2" t="str">
        <f>T7 &amp; MID(A4,6,LEN(A4)-5) &amp; IF(OR(D8="Pipe", I4="ü", I4=TRUE), "S1", IF(OR(D8="Tiles", J4="ü",  J4=TRUE), "S2", IF(OR(D8="Fitting", K4="ü", K4=TRUE), "S3", ""))) &amp; CHAR(96 + INT((ROW()-2)/4)) &amp; MOD(ROW()-2,4)-1</f>
        <v>1S2b1</v>
      </c>
      <c r="I12" s="8"/>
      <c r="J12" s="4" t="s">
        <v>15</v>
      </c>
      <c r="K12" s="9"/>
    </row>
    <row r="13" spans="1:26" x14ac:dyDescent="0.25">
      <c r="A13" s="33"/>
      <c r="B13" s="2"/>
      <c r="C13" s="3"/>
      <c r="D13" s="3"/>
      <c r="E13" s="3"/>
      <c r="F13" s="3"/>
      <c r="G13" s="3"/>
      <c r="H13" s="2" t="str">
        <f>T7 &amp; MID(A4,6,LEN(A4)-5) &amp; IF(OR(D8="Pipe", I4="ü", I4=TRUE), "S1", IF(OR(D8="Tiles", J4="ü",  J4=TRUE), "S2", IF(OR(D8="Fitting", K4="ü", K4=TRUE), "S3", ""))) &amp; CHAR(96 + INT((ROW()-2)/4)) &amp; MOD(ROW()-2,4)-1</f>
        <v>1S2b2</v>
      </c>
      <c r="I13" s="8"/>
      <c r="J13" s="4" t="s">
        <v>15</v>
      </c>
      <c r="K13" s="9"/>
    </row>
    <row r="14" spans="1:26" x14ac:dyDescent="0.25">
      <c r="A14" s="33"/>
      <c r="B14" s="2"/>
      <c r="C14" s="3"/>
      <c r="D14" s="3"/>
      <c r="E14" s="3"/>
      <c r="F14" s="3"/>
      <c r="G14" s="3"/>
      <c r="H14" s="2" t="str">
        <f>T7 &amp; MID(A4,6,LEN(A4)-5) &amp; IF(OR(I4="✓", I4="ü", I4=TRUE), "S1", IF(OR(J4="✓", J4="ü",  J4=TRUE), "S2", IF(OR(K4="✓", K4="ü", K4=TRUE), "S3", ""))) &amp; CHAR(96 + INT((ROW()-2)/4)-1) &amp; MOD(ROW()-2,4)+3</f>
        <v>1S3b3</v>
      </c>
      <c r="I14" s="8"/>
      <c r="J14" s="4" t="s">
        <v>15</v>
      </c>
      <c r="K14" s="9"/>
    </row>
    <row r="15" spans="1:26" x14ac:dyDescent="0.25">
      <c r="A15" s="33"/>
      <c r="B15" s="2"/>
      <c r="C15" s="3"/>
      <c r="D15" s="3"/>
      <c r="E15" s="3"/>
      <c r="F15" s="3"/>
      <c r="G15" s="3"/>
      <c r="H15" s="2" t="str">
        <f>T7 &amp; MID(A4,6,LEN(A4)-5) &amp; IF(OR(I4="✓", I4="ü", I4=TRUE), "S1", IF(OR(J4="✓", J4="ü",  J4=TRUE), "S2", IF(OR(K4="✓", K4="ü", K4=TRUE), "S3", ""))) &amp; CHAR(96 + INT((ROW()-2)/4)-1) &amp; MOD(ROW()-2,4)+3</f>
        <v>1S3b4</v>
      </c>
      <c r="I15" s="8"/>
      <c r="J15" s="4" t="s">
        <v>15</v>
      </c>
      <c r="K15" s="9"/>
    </row>
    <row r="16" spans="1:26" x14ac:dyDescent="0.25">
      <c r="A16" s="33"/>
      <c r="B16" s="2">
        <v>3</v>
      </c>
      <c r="C16" s="2" t="s">
        <v>20</v>
      </c>
      <c r="D16" s="2" t="s">
        <v>34</v>
      </c>
      <c r="E16" s="2" t="s">
        <v>134</v>
      </c>
      <c r="F16" s="2">
        <v>8</v>
      </c>
      <c r="G16" s="2" t="s">
        <v>21</v>
      </c>
      <c r="H16" s="2" t="str">
        <f>T7 &amp; MID(A4,6,LEN(A4)-5) &amp; IF(OR(D8="Pipe", I4="ü", I4=TRUE), "S1", IF(OR(D8="Tiles", J4="ü",  J4=TRUE), "S2", IF(OR(D8="Fitting", K4="ü", K4=TRUE), "S3", ""))) &amp; CHAR(96 + INT((ROW()-2)/4)) &amp; MOD(ROW()-2,4)-1</f>
        <v>1S2c1</v>
      </c>
      <c r="I16" s="8"/>
      <c r="J16" s="4" t="s">
        <v>15</v>
      </c>
      <c r="K16" s="9"/>
    </row>
    <row r="17" spans="1:11" x14ac:dyDescent="0.25">
      <c r="A17" s="33"/>
      <c r="B17" s="2"/>
      <c r="C17" s="3"/>
      <c r="D17" s="3"/>
      <c r="E17" s="3"/>
      <c r="F17" s="3"/>
      <c r="G17" s="3"/>
      <c r="H17" s="2" t="str">
        <f>T7 &amp; MID(A4,6,LEN(A4)-5) &amp; IF(OR(D8="Pipe", I4="ü", I4=TRUE), "S1", IF(OR(D8="Tiles", J4="ü",  J4=TRUE), "S2", IF(OR(D8="Fitting", K4="ü", K4=TRUE), "S3", ""))) &amp; CHAR(96 + INT((ROW()-2)/4)) &amp; MOD(ROW()-2,4)-1</f>
        <v>1S2c2</v>
      </c>
      <c r="I17" s="8"/>
      <c r="J17" s="4" t="s">
        <v>15</v>
      </c>
      <c r="K17" s="9"/>
    </row>
    <row r="18" spans="1:11" x14ac:dyDescent="0.25">
      <c r="A18" s="33"/>
      <c r="B18" s="2"/>
      <c r="C18" s="3"/>
      <c r="D18" s="3"/>
      <c r="E18" s="3"/>
      <c r="F18" s="3"/>
      <c r="G18" s="3"/>
      <c r="H18" s="2" t="str">
        <f>T7 &amp; MID(A4,6,LEN(A4)-5) &amp; IF(OR(I4="✓", I4="ü", I4=TRUE), "S1", IF(OR(J4="✓", J4="ü",  J4=TRUE), "S2", IF(OR(K4="✓", K4="ü", K4=TRUE), "S3", ""))) &amp; CHAR(96 + INT((ROW()-2)/4)-1) &amp; MOD(ROW()-2,4)+3</f>
        <v>1S3c3</v>
      </c>
      <c r="I18" s="8"/>
      <c r="J18" s="4" t="s">
        <v>15</v>
      </c>
      <c r="K18" s="9"/>
    </row>
    <row r="19" spans="1:11" x14ac:dyDescent="0.25">
      <c r="A19" s="33"/>
      <c r="B19" s="2"/>
      <c r="C19" s="3"/>
      <c r="D19" s="3"/>
      <c r="E19" s="3"/>
      <c r="F19" s="3"/>
      <c r="G19" s="3"/>
      <c r="H19" s="2" t="str">
        <f>T7 &amp; MID(A4,6,LEN(A4)-5) &amp; IF(OR(I4="✓", I4="ü", I4=TRUE), "S1", IF(OR(J4="✓", J4="ü",  J4=TRUE), "S2", IF(OR(K4="✓", K4="ü", K4=TRUE), "S3", ""))) &amp; CHAR(96 + INT((ROW()-2)/4)-1) &amp; MOD(ROW()-2,4)+3</f>
        <v>1S3c4</v>
      </c>
      <c r="I19" s="8"/>
      <c r="J19" s="4" t="s">
        <v>15</v>
      </c>
      <c r="K19" s="9"/>
    </row>
    <row r="20" spans="1:11" x14ac:dyDescent="0.25">
      <c r="A20" s="33"/>
      <c r="B20" s="2">
        <v>4</v>
      </c>
      <c r="C20" s="2" t="s">
        <v>74</v>
      </c>
      <c r="D20" s="2" t="s">
        <v>34</v>
      </c>
      <c r="E20" s="2" t="s">
        <v>134</v>
      </c>
      <c r="F20" s="3"/>
      <c r="G20" s="2" t="s">
        <v>21</v>
      </c>
      <c r="H20" s="2" t="s">
        <v>76</v>
      </c>
      <c r="I20" s="8"/>
      <c r="J20" s="4" t="s">
        <v>15</v>
      </c>
      <c r="K20" s="9"/>
    </row>
    <row r="21" spans="1:11" x14ac:dyDescent="0.25">
      <c r="A21" s="33"/>
      <c r="B21" s="2"/>
      <c r="C21" s="3"/>
      <c r="D21" s="3"/>
      <c r="E21" s="3"/>
      <c r="F21" s="3"/>
      <c r="G21" s="3"/>
      <c r="H21" s="2" t="s">
        <v>77</v>
      </c>
      <c r="I21" s="8"/>
      <c r="J21" s="4" t="s">
        <v>15</v>
      </c>
      <c r="K21" s="9"/>
    </row>
    <row r="22" spans="1:11" x14ac:dyDescent="0.25">
      <c r="A22" s="33"/>
      <c r="B22" s="2"/>
      <c r="C22" s="3"/>
      <c r="D22" s="3"/>
      <c r="E22" s="3"/>
      <c r="F22" s="3"/>
      <c r="G22" s="3"/>
      <c r="H22" s="2" t="s">
        <v>78</v>
      </c>
      <c r="I22" s="8"/>
      <c r="J22" s="4" t="s">
        <v>15</v>
      </c>
      <c r="K22" s="9"/>
    </row>
    <row r="23" spans="1:11" x14ac:dyDescent="0.25">
      <c r="A23" s="34"/>
      <c r="B23" s="12"/>
      <c r="C23" s="17"/>
      <c r="D23" s="17"/>
      <c r="E23" s="17"/>
      <c r="F23" s="17"/>
      <c r="G23" s="17"/>
      <c r="H23" s="12" t="s">
        <v>79</v>
      </c>
      <c r="I23" s="18"/>
      <c r="J23" s="13" t="s">
        <v>15</v>
      </c>
      <c r="K23" s="10"/>
    </row>
    <row r="24" spans="1:11" x14ac:dyDescent="0.25">
      <c r="A24" s="32" t="s">
        <v>22</v>
      </c>
      <c r="B24" s="2">
        <v>1</v>
      </c>
      <c r="C24" s="2" t="s">
        <v>20</v>
      </c>
      <c r="D24" s="2" t="s">
        <v>34</v>
      </c>
      <c r="E24" s="2" t="s">
        <v>134</v>
      </c>
      <c r="F24" s="2">
        <v>4</v>
      </c>
      <c r="G24" s="2" t="s">
        <v>21</v>
      </c>
      <c r="H24" s="2" t="s">
        <v>25</v>
      </c>
      <c r="J24" s="4" t="s">
        <v>15</v>
      </c>
      <c r="K24" s="21"/>
    </row>
    <row r="25" spans="1:11" x14ac:dyDescent="0.25">
      <c r="A25" s="33"/>
      <c r="B25" s="2"/>
      <c r="C25" s="2"/>
      <c r="D25" s="2"/>
      <c r="E25" s="2"/>
      <c r="F25" s="2"/>
      <c r="G25" s="2"/>
      <c r="H25" s="2" t="s">
        <v>26</v>
      </c>
      <c r="J25" s="4" t="s">
        <v>15</v>
      </c>
      <c r="K25" s="21"/>
    </row>
    <row r="26" spans="1:11" x14ac:dyDescent="0.25">
      <c r="A26" s="33"/>
      <c r="B26" s="2"/>
      <c r="C26" s="2"/>
      <c r="D26" s="2"/>
      <c r="E26" s="2"/>
      <c r="F26" s="2"/>
      <c r="G26" s="2"/>
      <c r="H26" s="2" t="s">
        <v>23</v>
      </c>
      <c r="J26" s="4" t="s">
        <v>15</v>
      </c>
      <c r="K26" s="21"/>
    </row>
    <row r="27" spans="1:11" x14ac:dyDescent="0.25">
      <c r="A27" s="34"/>
      <c r="B27" s="2"/>
      <c r="C27" s="2"/>
      <c r="D27" s="2"/>
      <c r="E27" s="2"/>
      <c r="F27" s="2"/>
      <c r="G27" s="2"/>
      <c r="H27" s="2" t="s">
        <v>24</v>
      </c>
      <c r="J27" s="4" t="s">
        <v>15</v>
      </c>
      <c r="K27" s="21"/>
    </row>
    <row r="28" spans="1:11" x14ac:dyDescent="0.25">
      <c r="A28" s="33" t="s">
        <v>27</v>
      </c>
      <c r="B28" s="14">
        <v>1</v>
      </c>
      <c r="C28" s="14" t="s">
        <v>32</v>
      </c>
      <c r="D28" s="14" t="s">
        <v>11</v>
      </c>
      <c r="E28" s="14" t="s">
        <v>12</v>
      </c>
      <c r="F28" s="14">
        <v>4</v>
      </c>
      <c r="G28" s="14" t="s">
        <v>13</v>
      </c>
      <c r="H28" s="14" t="s">
        <v>28</v>
      </c>
      <c r="I28" s="20"/>
      <c r="J28" s="20"/>
      <c r="K28" s="23" t="s">
        <v>15</v>
      </c>
    </row>
    <row r="29" spans="1:11" x14ac:dyDescent="0.25">
      <c r="A29" s="33"/>
      <c r="B29" s="2"/>
      <c r="C29" s="2"/>
      <c r="D29" s="2"/>
      <c r="E29" s="2"/>
      <c r="F29" s="2"/>
      <c r="G29" s="2"/>
      <c r="H29" s="2" t="s">
        <v>29</v>
      </c>
      <c r="I29" s="24"/>
      <c r="J29" s="24"/>
      <c r="K29" s="7" t="s">
        <v>15</v>
      </c>
    </row>
    <row r="30" spans="1:11" x14ac:dyDescent="0.25">
      <c r="A30" s="33"/>
      <c r="B30" s="2"/>
      <c r="C30" s="2"/>
      <c r="D30" s="2"/>
      <c r="E30" s="2"/>
      <c r="F30" s="2"/>
      <c r="G30" s="2"/>
      <c r="H30" s="2" t="s">
        <v>30</v>
      </c>
      <c r="I30" s="24"/>
      <c r="J30" s="24"/>
      <c r="K30" s="7" t="s">
        <v>15</v>
      </c>
    </row>
    <row r="31" spans="1:11" x14ac:dyDescent="0.25">
      <c r="A31" s="33"/>
      <c r="B31" s="2"/>
      <c r="D31" s="2"/>
      <c r="E31" s="2"/>
      <c r="F31" s="2"/>
      <c r="G31" s="2"/>
      <c r="H31" s="2" t="s">
        <v>31</v>
      </c>
      <c r="I31" s="24"/>
      <c r="J31" s="24"/>
      <c r="K31" s="7" t="s">
        <v>15</v>
      </c>
    </row>
    <row r="32" spans="1:11" x14ac:dyDescent="0.25">
      <c r="A32" s="33"/>
      <c r="B32" s="2"/>
      <c r="C32" s="2" t="s">
        <v>128</v>
      </c>
      <c r="D32" s="2" t="s">
        <v>11</v>
      </c>
      <c r="E32" s="2" t="s">
        <v>12</v>
      </c>
      <c r="F32" s="2">
        <v>4</v>
      </c>
      <c r="G32" s="2" t="s">
        <v>13</v>
      </c>
      <c r="H32" s="2" t="s">
        <v>129</v>
      </c>
      <c r="I32" s="24"/>
      <c r="J32" s="24"/>
      <c r="K32" s="7" t="s">
        <v>15</v>
      </c>
    </row>
    <row r="33" spans="1:11" x14ac:dyDescent="0.25">
      <c r="A33" s="33"/>
      <c r="B33" s="2"/>
      <c r="D33" s="2"/>
      <c r="E33" s="2"/>
      <c r="F33" s="2"/>
      <c r="G33" s="2"/>
      <c r="H33" s="2" t="s">
        <v>130</v>
      </c>
      <c r="I33" s="24"/>
      <c r="J33" s="24"/>
      <c r="K33" s="7" t="s">
        <v>15</v>
      </c>
    </row>
    <row r="34" spans="1:11" x14ac:dyDescent="0.25">
      <c r="A34" s="33"/>
      <c r="B34" s="2"/>
      <c r="D34" s="2"/>
      <c r="E34" s="2"/>
      <c r="F34" s="2"/>
      <c r="G34" s="2"/>
      <c r="H34" s="2" t="s">
        <v>131</v>
      </c>
      <c r="I34" s="24"/>
      <c r="J34" s="24"/>
      <c r="K34" s="7" t="s">
        <v>15</v>
      </c>
    </row>
    <row r="35" spans="1:11" x14ac:dyDescent="0.25">
      <c r="A35" s="33"/>
      <c r="B35" s="2"/>
      <c r="F35" s="2"/>
      <c r="G35" s="2"/>
      <c r="H35" s="2" t="s">
        <v>132</v>
      </c>
      <c r="I35" s="24"/>
      <c r="J35" s="24"/>
      <c r="K35" s="7" t="s">
        <v>15</v>
      </c>
    </row>
    <row r="36" spans="1:11" x14ac:dyDescent="0.25">
      <c r="A36" s="33"/>
      <c r="B36" s="2">
        <v>2</v>
      </c>
      <c r="C36" s="2" t="s">
        <v>20</v>
      </c>
      <c r="D36" s="2" t="s">
        <v>33</v>
      </c>
      <c r="E36" s="2" t="s">
        <v>134</v>
      </c>
      <c r="F36" s="2">
        <v>4</v>
      </c>
      <c r="G36" s="2" t="s">
        <v>21</v>
      </c>
      <c r="H36" s="2" t="s">
        <v>35</v>
      </c>
      <c r="J36" s="4" t="s">
        <v>15</v>
      </c>
      <c r="K36" s="22"/>
    </row>
    <row r="37" spans="1:11" x14ac:dyDescent="0.25">
      <c r="A37" s="33"/>
      <c r="B37" s="2"/>
      <c r="C37" s="2"/>
      <c r="D37" s="2"/>
      <c r="E37" s="2"/>
      <c r="F37" s="2"/>
      <c r="G37" s="2"/>
      <c r="H37" s="2" t="s">
        <v>36</v>
      </c>
      <c r="J37" s="4" t="s">
        <v>15</v>
      </c>
      <c r="K37" s="22"/>
    </row>
    <row r="38" spans="1:11" x14ac:dyDescent="0.25">
      <c r="A38" s="33"/>
      <c r="B38" s="2"/>
      <c r="C38" s="2"/>
      <c r="D38" s="2"/>
      <c r="E38" s="2"/>
      <c r="F38" s="2"/>
      <c r="G38" s="2"/>
      <c r="H38" s="2" t="s">
        <v>37</v>
      </c>
      <c r="J38" s="4" t="s">
        <v>15</v>
      </c>
      <c r="K38" s="22"/>
    </row>
    <row r="39" spans="1:11" x14ac:dyDescent="0.25">
      <c r="A39" s="33"/>
      <c r="B39" s="12"/>
      <c r="C39" s="12"/>
      <c r="D39" s="12"/>
      <c r="E39" s="12"/>
      <c r="F39" s="12"/>
      <c r="G39" s="12"/>
      <c r="H39" s="12" t="s">
        <v>38</v>
      </c>
      <c r="I39" s="11"/>
      <c r="J39" s="13" t="s">
        <v>15</v>
      </c>
      <c r="K39" s="28"/>
    </row>
    <row r="40" spans="1:11" x14ac:dyDescent="0.25">
      <c r="A40" s="32" t="s">
        <v>39</v>
      </c>
      <c r="B40" s="2">
        <v>1</v>
      </c>
      <c r="C40" s="2" t="s">
        <v>20</v>
      </c>
      <c r="D40" s="2" t="s">
        <v>33</v>
      </c>
      <c r="E40" s="2" t="s">
        <v>134</v>
      </c>
      <c r="F40" s="2">
        <v>4</v>
      </c>
      <c r="G40" s="2" t="s">
        <v>21</v>
      </c>
      <c r="H40" s="2" t="s">
        <v>40</v>
      </c>
      <c r="I40" s="24"/>
      <c r="J40" s="4" t="s">
        <v>15</v>
      </c>
      <c r="K40" s="9"/>
    </row>
    <row r="41" spans="1:11" x14ac:dyDescent="0.25">
      <c r="A41" s="33"/>
      <c r="B41" s="2"/>
      <c r="C41" s="2"/>
      <c r="D41" s="2"/>
      <c r="E41" s="2"/>
      <c r="F41" s="2"/>
      <c r="G41" s="2"/>
      <c r="H41" s="2" t="s">
        <v>43</v>
      </c>
      <c r="I41" s="24"/>
      <c r="J41" s="4" t="s">
        <v>15</v>
      </c>
      <c r="K41" s="9"/>
    </row>
    <row r="42" spans="1:11" x14ac:dyDescent="0.25">
      <c r="A42" s="33"/>
      <c r="B42" s="2"/>
      <c r="C42" s="2"/>
      <c r="D42" s="2"/>
      <c r="E42" s="2"/>
      <c r="F42" s="2"/>
      <c r="G42" s="2"/>
      <c r="H42" s="2" t="s">
        <v>41</v>
      </c>
      <c r="I42" s="24"/>
      <c r="J42" s="4" t="s">
        <v>15</v>
      </c>
      <c r="K42" s="9"/>
    </row>
    <row r="43" spans="1:11" x14ac:dyDescent="0.25">
      <c r="A43" s="33"/>
      <c r="B43" s="2"/>
      <c r="C43" s="2"/>
      <c r="D43" s="2"/>
      <c r="E43" s="2"/>
      <c r="F43" s="2"/>
      <c r="G43" s="2"/>
      <c r="H43" s="2" t="s">
        <v>42</v>
      </c>
      <c r="I43" s="24"/>
      <c r="J43" s="4" t="s">
        <v>15</v>
      </c>
      <c r="K43" s="9"/>
    </row>
    <row r="44" spans="1:11" x14ac:dyDescent="0.25">
      <c r="A44" s="33"/>
      <c r="B44" s="25">
        <v>2</v>
      </c>
      <c r="C44" s="25" t="s">
        <v>123</v>
      </c>
      <c r="D44" s="2" t="s">
        <v>11</v>
      </c>
      <c r="E44" s="25" t="s">
        <v>19</v>
      </c>
      <c r="F44" s="25">
        <v>2</v>
      </c>
      <c r="G44" s="25" t="s">
        <v>13</v>
      </c>
      <c r="H44" s="2" t="s">
        <v>121</v>
      </c>
      <c r="K44" s="7" t="s">
        <v>15</v>
      </c>
    </row>
    <row r="45" spans="1:11" x14ac:dyDescent="0.25">
      <c r="A45" s="34"/>
      <c r="B45" s="11"/>
      <c r="C45" s="11"/>
      <c r="D45" s="11"/>
      <c r="E45" s="11"/>
      <c r="F45" s="11"/>
      <c r="G45" s="11"/>
      <c r="H45" s="12" t="s">
        <v>122</v>
      </c>
      <c r="I45" s="11"/>
      <c r="J45" s="11"/>
      <c r="K45" s="26" t="s">
        <v>15</v>
      </c>
    </row>
    <row r="46" spans="1:11" x14ac:dyDescent="0.25">
      <c r="A46" s="32" t="s">
        <v>44</v>
      </c>
      <c r="B46" s="2">
        <v>1</v>
      </c>
      <c r="C46" s="2" t="s">
        <v>45</v>
      </c>
      <c r="D46" s="2" t="s">
        <v>33</v>
      </c>
      <c r="E46" s="2" t="s">
        <v>134</v>
      </c>
      <c r="F46" s="2">
        <v>7</v>
      </c>
      <c r="G46" s="2" t="s">
        <v>21</v>
      </c>
      <c r="H46" s="2" t="s">
        <v>46</v>
      </c>
      <c r="J46" s="4" t="s">
        <v>15</v>
      </c>
      <c r="K46" s="22"/>
    </row>
    <row r="47" spans="1:11" x14ac:dyDescent="0.25">
      <c r="A47" s="33"/>
      <c r="B47" s="2"/>
      <c r="C47" s="2"/>
      <c r="D47" s="2"/>
      <c r="E47" s="2"/>
      <c r="F47" s="2"/>
      <c r="G47" s="2"/>
      <c r="H47" s="2" t="s">
        <v>47</v>
      </c>
      <c r="J47" s="4" t="s">
        <v>15</v>
      </c>
      <c r="K47" s="22"/>
    </row>
    <row r="48" spans="1:11" x14ac:dyDescent="0.25">
      <c r="A48" s="33"/>
      <c r="B48" s="2"/>
      <c r="C48" s="2"/>
      <c r="D48" s="2"/>
      <c r="E48" s="2"/>
      <c r="F48" s="2"/>
      <c r="G48" s="2"/>
      <c r="H48" s="2" t="s">
        <v>48</v>
      </c>
      <c r="J48" s="4" t="s">
        <v>15</v>
      </c>
      <c r="K48" s="22"/>
    </row>
    <row r="49" spans="1:11" x14ac:dyDescent="0.25">
      <c r="A49" s="33"/>
      <c r="B49" s="2">
        <v>2</v>
      </c>
      <c r="C49" s="2" t="s">
        <v>45</v>
      </c>
      <c r="D49" s="2" t="s">
        <v>33</v>
      </c>
      <c r="E49" s="2" t="s">
        <v>134</v>
      </c>
      <c r="F49" s="2"/>
      <c r="G49" s="2" t="s">
        <v>21</v>
      </c>
      <c r="H49" s="2" t="s">
        <v>124</v>
      </c>
      <c r="J49" s="4" t="s">
        <v>15</v>
      </c>
      <c r="K49" s="22"/>
    </row>
    <row r="50" spans="1:11" x14ac:dyDescent="0.25">
      <c r="A50" s="33"/>
      <c r="B50" s="2"/>
      <c r="C50" s="2"/>
      <c r="D50" s="2"/>
      <c r="E50" s="2"/>
      <c r="F50" s="2"/>
      <c r="G50" s="2"/>
      <c r="H50" s="2" t="s">
        <v>125</v>
      </c>
      <c r="J50" s="4" t="s">
        <v>15</v>
      </c>
      <c r="K50" s="22"/>
    </row>
    <row r="51" spans="1:11" x14ac:dyDescent="0.25">
      <c r="A51" s="33"/>
      <c r="B51" s="2"/>
      <c r="C51" s="2"/>
      <c r="D51" s="2"/>
      <c r="E51" s="2"/>
      <c r="F51" s="2"/>
      <c r="G51" s="2"/>
      <c r="H51" s="2" t="s">
        <v>126</v>
      </c>
      <c r="J51" s="4" t="s">
        <v>15</v>
      </c>
      <c r="K51" s="22"/>
    </row>
    <row r="52" spans="1:11" x14ac:dyDescent="0.25">
      <c r="A52" s="33"/>
      <c r="B52" s="2"/>
      <c r="C52" s="2"/>
      <c r="D52" s="2"/>
      <c r="E52" s="2"/>
      <c r="F52" s="2"/>
      <c r="G52" s="2"/>
      <c r="H52" s="2" t="s">
        <v>127</v>
      </c>
      <c r="J52" s="4" t="s">
        <v>15</v>
      </c>
      <c r="K52" s="22"/>
    </row>
    <row r="53" spans="1:11" x14ac:dyDescent="0.25">
      <c r="A53" s="33"/>
      <c r="B53" s="2">
        <v>3</v>
      </c>
      <c r="C53" s="25" t="s">
        <v>91</v>
      </c>
      <c r="D53" s="2" t="s">
        <v>11</v>
      </c>
      <c r="E53" s="2" t="s">
        <v>19</v>
      </c>
      <c r="F53" s="2">
        <v>5</v>
      </c>
      <c r="G53" s="2" t="s">
        <v>13</v>
      </c>
      <c r="H53" s="2" t="s">
        <v>92</v>
      </c>
      <c r="K53" s="7" t="s">
        <v>15</v>
      </c>
    </row>
    <row r="54" spans="1:11" x14ac:dyDescent="0.25">
      <c r="A54" s="33"/>
      <c r="B54" s="2"/>
      <c r="C54" s="2"/>
      <c r="D54" s="2"/>
      <c r="E54" s="2"/>
      <c r="F54" s="2"/>
      <c r="G54" s="2"/>
      <c r="H54" s="2" t="s">
        <v>93</v>
      </c>
      <c r="K54" s="7" t="s">
        <v>15</v>
      </c>
    </row>
    <row r="55" spans="1:11" x14ac:dyDescent="0.25">
      <c r="A55" s="33"/>
      <c r="B55" s="2"/>
      <c r="C55" s="2"/>
      <c r="D55" s="2"/>
      <c r="E55" s="2"/>
      <c r="F55" s="2"/>
      <c r="G55" s="2"/>
      <c r="H55" s="2" t="s">
        <v>94</v>
      </c>
      <c r="K55" s="7" t="s">
        <v>15</v>
      </c>
    </row>
    <row r="56" spans="1:11" x14ac:dyDescent="0.25">
      <c r="A56" s="33"/>
      <c r="B56" s="2"/>
      <c r="C56" s="2"/>
      <c r="D56" s="2"/>
      <c r="E56" s="2"/>
      <c r="F56" s="2"/>
      <c r="G56" s="2"/>
      <c r="H56" s="2" t="s">
        <v>108</v>
      </c>
      <c r="K56" s="7" t="s">
        <v>15</v>
      </c>
    </row>
    <row r="57" spans="1:11" x14ac:dyDescent="0.25">
      <c r="A57" s="33"/>
      <c r="B57" s="2"/>
      <c r="C57" s="2"/>
      <c r="D57" s="2"/>
      <c r="E57" s="2"/>
      <c r="F57" s="2"/>
      <c r="G57" s="2"/>
      <c r="H57" s="2" t="s">
        <v>110</v>
      </c>
      <c r="K57" s="7" t="s">
        <v>15</v>
      </c>
    </row>
    <row r="58" spans="1:11" x14ac:dyDescent="0.25">
      <c r="A58" s="33"/>
      <c r="B58" s="2">
        <v>4</v>
      </c>
      <c r="C58" s="25" t="s">
        <v>74</v>
      </c>
      <c r="D58" s="2" t="s">
        <v>11</v>
      </c>
      <c r="E58" s="2" t="s">
        <v>19</v>
      </c>
      <c r="F58" s="2">
        <v>5</v>
      </c>
      <c r="G58" s="2" t="s">
        <v>13</v>
      </c>
      <c r="H58" s="2" t="s">
        <v>95</v>
      </c>
      <c r="K58" s="7" t="s">
        <v>15</v>
      </c>
    </row>
    <row r="59" spans="1:11" x14ac:dyDescent="0.25">
      <c r="A59" s="33"/>
      <c r="B59" s="2"/>
      <c r="C59" s="2"/>
      <c r="D59" s="2"/>
      <c r="E59" s="2"/>
      <c r="F59" s="2"/>
      <c r="G59" s="2"/>
      <c r="H59" s="2" t="s">
        <v>96</v>
      </c>
      <c r="K59" s="7" t="s">
        <v>15</v>
      </c>
    </row>
    <row r="60" spans="1:11" x14ac:dyDescent="0.25">
      <c r="A60" s="33"/>
      <c r="B60" s="2"/>
      <c r="C60" s="2"/>
      <c r="D60" s="2"/>
      <c r="E60" s="2"/>
      <c r="F60" s="2"/>
      <c r="G60" s="2"/>
      <c r="H60" s="2" t="s">
        <v>97</v>
      </c>
      <c r="K60" s="7" t="s">
        <v>15</v>
      </c>
    </row>
    <row r="61" spans="1:11" x14ac:dyDescent="0.25">
      <c r="A61" s="33"/>
      <c r="B61" s="2"/>
      <c r="C61" s="2"/>
      <c r="D61" s="2"/>
      <c r="E61" s="2"/>
      <c r="F61" s="2"/>
      <c r="G61" s="2"/>
      <c r="H61" s="2" t="s">
        <v>109</v>
      </c>
      <c r="K61" s="7" t="s">
        <v>15</v>
      </c>
    </row>
    <row r="62" spans="1:11" x14ac:dyDescent="0.25">
      <c r="A62" s="33"/>
      <c r="B62" s="2"/>
      <c r="C62" s="2"/>
      <c r="D62" s="2"/>
      <c r="E62" s="2"/>
      <c r="F62" s="2"/>
      <c r="G62" s="2"/>
      <c r="H62" s="2" t="s">
        <v>120</v>
      </c>
      <c r="K62" s="7" t="s">
        <v>15</v>
      </c>
    </row>
    <row r="63" spans="1:11" x14ac:dyDescent="0.25">
      <c r="A63" s="33"/>
      <c r="B63" s="2">
        <v>5</v>
      </c>
      <c r="C63" s="25" t="s">
        <v>98</v>
      </c>
      <c r="D63" s="2" t="s">
        <v>11</v>
      </c>
      <c r="E63" s="2" t="s">
        <v>12</v>
      </c>
      <c r="F63" s="2">
        <v>4</v>
      </c>
      <c r="G63" s="2" t="s">
        <v>13</v>
      </c>
      <c r="H63" s="2" t="s">
        <v>99</v>
      </c>
      <c r="K63" s="7" t="s">
        <v>15</v>
      </c>
    </row>
    <row r="64" spans="1:11" x14ac:dyDescent="0.25">
      <c r="A64" s="33"/>
      <c r="B64" s="2"/>
      <c r="C64" s="2"/>
      <c r="D64" s="2"/>
      <c r="E64" s="2"/>
      <c r="F64" s="2"/>
      <c r="G64" s="2"/>
      <c r="H64" s="2" t="s">
        <v>100</v>
      </c>
      <c r="K64" s="7" t="s">
        <v>15</v>
      </c>
    </row>
    <row r="65" spans="1:11" x14ac:dyDescent="0.25">
      <c r="A65" s="33"/>
      <c r="B65" s="2"/>
      <c r="C65" s="2"/>
      <c r="D65" s="2"/>
      <c r="E65" s="2"/>
      <c r="F65" s="2"/>
      <c r="G65" s="2"/>
      <c r="H65" s="2" t="s">
        <v>101</v>
      </c>
      <c r="K65" s="7" t="s">
        <v>15</v>
      </c>
    </row>
    <row r="66" spans="1:11" x14ac:dyDescent="0.25">
      <c r="A66" s="33"/>
      <c r="B66" s="2"/>
      <c r="C66" s="2"/>
      <c r="D66" s="2"/>
      <c r="E66" s="2"/>
      <c r="F66" s="2"/>
      <c r="G66" s="2"/>
      <c r="H66" s="2" t="s">
        <v>102</v>
      </c>
      <c r="K66" s="7" t="s">
        <v>15</v>
      </c>
    </row>
    <row r="67" spans="1:11" x14ac:dyDescent="0.25">
      <c r="A67" s="33"/>
      <c r="B67" s="2">
        <v>6</v>
      </c>
      <c r="C67" s="2" t="s">
        <v>107</v>
      </c>
      <c r="D67" s="2" t="s">
        <v>11</v>
      </c>
      <c r="E67" s="2" t="s">
        <v>12</v>
      </c>
      <c r="F67" s="2">
        <v>4</v>
      </c>
      <c r="G67" s="2" t="s">
        <v>13</v>
      </c>
      <c r="H67" s="2" t="s">
        <v>103</v>
      </c>
      <c r="K67" s="7" t="s">
        <v>15</v>
      </c>
    </row>
    <row r="68" spans="1:11" x14ac:dyDescent="0.25">
      <c r="A68" s="33"/>
      <c r="B68" s="2"/>
      <c r="C68" s="2"/>
      <c r="D68" s="2"/>
      <c r="E68" s="2"/>
      <c r="F68" s="2"/>
      <c r="G68" s="2"/>
      <c r="H68" s="2" t="s">
        <v>104</v>
      </c>
      <c r="K68" s="7" t="s">
        <v>15</v>
      </c>
    </row>
    <row r="69" spans="1:11" x14ac:dyDescent="0.25">
      <c r="A69" s="33"/>
      <c r="B69" s="2"/>
      <c r="C69" s="2"/>
      <c r="D69" s="2"/>
      <c r="E69" s="2"/>
      <c r="F69" s="2"/>
      <c r="G69" s="2"/>
      <c r="H69" s="2" t="s">
        <v>105</v>
      </c>
      <c r="K69" s="7" t="s">
        <v>15</v>
      </c>
    </row>
    <row r="70" spans="1:11" x14ac:dyDescent="0.25">
      <c r="A70" s="34"/>
      <c r="B70" s="11"/>
      <c r="D70" s="11"/>
      <c r="E70" s="11"/>
      <c r="F70" s="11"/>
      <c r="G70" s="11"/>
      <c r="H70" s="12" t="s">
        <v>106</v>
      </c>
      <c r="I70" s="11"/>
      <c r="K70" s="7" t="s">
        <v>15</v>
      </c>
    </row>
    <row r="71" spans="1:11" x14ac:dyDescent="0.25">
      <c r="A71" s="32" t="s">
        <v>49</v>
      </c>
      <c r="B71" s="14">
        <v>1</v>
      </c>
      <c r="C71" s="14" t="s">
        <v>20</v>
      </c>
      <c r="D71" s="2" t="s">
        <v>33</v>
      </c>
      <c r="E71" s="14" t="s">
        <v>134</v>
      </c>
      <c r="F71" s="14">
        <v>8</v>
      </c>
      <c r="G71" s="14" t="s">
        <v>21</v>
      </c>
      <c r="H71" s="14" t="s">
        <v>81</v>
      </c>
      <c r="I71" s="15"/>
      <c r="J71" s="16" t="s">
        <v>15</v>
      </c>
      <c r="K71" s="19"/>
    </row>
    <row r="72" spans="1:11" x14ac:dyDescent="0.25">
      <c r="A72" s="33"/>
      <c r="B72" s="2"/>
      <c r="C72" s="2"/>
      <c r="D72" s="2"/>
      <c r="E72" s="2"/>
      <c r="F72" s="3"/>
      <c r="G72" s="2"/>
      <c r="H72" s="2" t="s">
        <v>82</v>
      </c>
      <c r="I72" s="8"/>
      <c r="J72" s="4" t="s">
        <v>15</v>
      </c>
      <c r="K72" s="9"/>
    </row>
    <row r="73" spans="1:11" x14ac:dyDescent="0.25">
      <c r="A73" s="33"/>
      <c r="B73" s="2"/>
      <c r="C73" s="2"/>
      <c r="D73" s="2"/>
      <c r="E73" s="2"/>
      <c r="F73" s="3"/>
      <c r="G73" s="2"/>
      <c r="H73" s="2" t="s">
        <v>83</v>
      </c>
      <c r="I73" s="8"/>
      <c r="J73" s="4" t="s">
        <v>15</v>
      </c>
      <c r="K73" s="9"/>
    </row>
    <row r="74" spans="1:11" x14ac:dyDescent="0.25">
      <c r="A74" s="33"/>
      <c r="B74" s="2"/>
      <c r="C74" s="2"/>
      <c r="D74" s="2"/>
      <c r="E74" s="2"/>
      <c r="F74" s="3"/>
      <c r="G74" s="2"/>
      <c r="H74" s="2" t="s">
        <v>84</v>
      </c>
      <c r="I74" s="8"/>
      <c r="J74" s="4" t="s">
        <v>15</v>
      </c>
      <c r="K74" s="9"/>
    </row>
    <row r="75" spans="1:11" x14ac:dyDescent="0.25">
      <c r="A75" s="33"/>
      <c r="B75" s="2"/>
      <c r="C75" s="2"/>
      <c r="D75" s="2"/>
      <c r="E75" s="2"/>
      <c r="F75" s="3"/>
      <c r="G75" s="2"/>
      <c r="H75" s="2" t="s">
        <v>85</v>
      </c>
      <c r="I75" s="8"/>
      <c r="J75" s="4" t="s">
        <v>15</v>
      </c>
      <c r="K75" s="9"/>
    </row>
    <row r="76" spans="1:11" x14ac:dyDescent="0.25">
      <c r="A76" s="33"/>
      <c r="B76" s="2"/>
      <c r="C76" s="2"/>
      <c r="D76" s="2"/>
      <c r="E76" s="2"/>
      <c r="F76" s="3"/>
      <c r="G76" s="2"/>
      <c r="H76" s="2" t="s">
        <v>86</v>
      </c>
      <c r="I76" s="8"/>
      <c r="J76" s="4" t="s">
        <v>15</v>
      </c>
      <c r="K76" s="9"/>
    </row>
    <row r="77" spans="1:11" x14ac:dyDescent="0.25">
      <c r="A77" s="33"/>
      <c r="B77" s="2"/>
      <c r="C77" s="2"/>
      <c r="D77" s="2"/>
      <c r="E77" s="2"/>
      <c r="F77" s="3"/>
      <c r="G77" s="2"/>
      <c r="H77" s="2" t="s">
        <v>87</v>
      </c>
      <c r="I77" s="8"/>
      <c r="J77" s="4" t="s">
        <v>15</v>
      </c>
      <c r="K77" s="9"/>
    </row>
    <row r="78" spans="1:11" x14ac:dyDescent="0.25">
      <c r="A78" s="34"/>
      <c r="B78" s="12"/>
      <c r="C78" s="12"/>
      <c r="D78" s="12"/>
      <c r="E78" s="12"/>
      <c r="F78" s="17"/>
      <c r="G78" s="12"/>
      <c r="H78" s="12" t="s">
        <v>88</v>
      </c>
      <c r="I78" s="18"/>
      <c r="J78" s="13" t="s">
        <v>15</v>
      </c>
      <c r="K78" s="10"/>
    </row>
    <row r="79" spans="1:11" x14ac:dyDescent="0.25">
      <c r="A79" s="29" t="s">
        <v>50</v>
      </c>
      <c r="B79" s="2">
        <v>1</v>
      </c>
      <c r="C79" s="2" t="s">
        <v>51</v>
      </c>
      <c r="D79" s="2" t="s">
        <v>33</v>
      </c>
      <c r="E79" s="2" t="s">
        <v>134</v>
      </c>
      <c r="F79" s="2">
        <v>14</v>
      </c>
      <c r="G79" s="2" t="s">
        <v>21</v>
      </c>
      <c r="H79" s="2" t="s">
        <v>57</v>
      </c>
      <c r="J79" s="4" t="s">
        <v>15</v>
      </c>
      <c r="K79" s="22"/>
    </row>
    <row r="80" spans="1:11" x14ac:dyDescent="0.25">
      <c r="A80" s="30"/>
      <c r="B80" s="2"/>
      <c r="C80" s="2"/>
      <c r="D80" s="2"/>
      <c r="E80" s="2"/>
      <c r="F80" s="2"/>
      <c r="G80" s="2"/>
      <c r="H80" s="2" t="s">
        <v>58</v>
      </c>
      <c r="J80" s="4" t="s">
        <v>15</v>
      </c>
      <c r="K80" s="22"/>
    </row>
    <row r="81" spans="1:11" x14ac:dyDescent="0.25">
      <c r="A81" s="30"/>
      <c r="B81" s="2"/>
      <c r="C81" s="2"/>
      <c r="D81" s="2"/>
      <c r="E81" s="2"/>
      <c r="F81" s="2"/>
      <c r="G81" s="2"/>
      <c r="H81" s="2" t="s">
        <v>59</v>
      </c>
      <c r="J81" s="4" t="s">
        <v>15</v>
      </c>
      <c r="K81" s="22"/>
    </row>
    <row r="82" spans="1:11" x14ac:dyDescent="0.25">
      <c r="A82" s="30"/>
      <c r="B82" s="2"/>
      <c r="C82" s="2"/>
      <c r="D82" s="2"/>
      <c r="E82" s="2"/>
      <c r="F82" s="2"/>
      <c r="G82" s="2"/>
      <c r="H82" s="2" t="s">
        <v>60</v>
      </c>
      <c r="J82" s="4" t="s">
        <v>15</v>
      </c>
      <c r="K82" s="22"/>
    </row>
    <row r="83" spans="1:11" x14ac:dyDescent="0.25">
      <c r="A83" s="30"/>
      <c r="B83" s="2"/>
      <c r="C83" s="2"/>
      <c r="D83" s="2"/>
      <c r="E83" s="2"/>
      <c r="F83" s="2"/>
      <c r="G83" s="2"/>
      <c r="H83" s="2" t="s">
        <v>62</v>
      </c>
      <c r="J83" s="4" t="s">
        <v>15</v>
      </c>
      <c r="K83" s="22"/>
    </row>
    <row r="84" spans="1:11" x14ac:dyDescent="0.25">
      <c r="A84" s="30"/>
      <c r="B84" s="2"/>
      <c r="C84" s="2"/>
      <c r="D84" s="2"/>
      <c r="E84" s="2"/>
      <c r="F84" s="2"/>
      <c r="G84" s="2"/>
      <c r="H84" s="2" t="s">
        <v>63</v>
      </c>
      <c r="J84" s="4" t="s">
        <v>15</v>
      </c>
      <c r="K84" s="22"/>
    </row>
    <row r="85" spans="1:11" x14ac:dyDescent="0.25">
      <c r="A85" s="30"/>
      <c r="B85" s="2"/>
      <c r="C85" s="2"/>
      <c r="D85" s="2"/>
      <c r="E85" s="2"/>
      <c r="F85" s="2"/>
      <c r="G85" s="2"/>
      <c r="H85" s="2" t="s">
        <v>64</v>
      </c>
      <c r="J85" s="4" t="s">
        <v>15</v>
      </c>
      <c r="K85" s="22"/>
    </row>
    <row r="86" spans="1:11" x14ac:dyDescent="0.25">
      <c r="A86" s="30"/>
      <c r="B86" s="2">
        <v>2</v>
      </c>
      <c r="C86" s="25" t="s">
        <v>75</v>
      </c>
      <c r="D86" s="2"/>
      <c r="E86" s="2"/>
      <c r="F86" s="2"/>
      <c r="G86" s="2" t="s">
        <v>21</v>
      </c>
      <c r="H86" s="2" t="s">
        <v>61</v>
      </c>
      <c r="J86" s="4" t="s">
        <v>15</v>
      </c>
      <c r="K86" s="22"/>
    </row>
    <row r="87" spans="1:11" x14ac:dyDescent="0.25">
      <c r="A87" s="30"/>
      <c r="B87" s="2"/>
      <c r="C87" s="2"/>
      <c r="D87" s="2"/>
      <c r="E87" s="2"/>
      <c r="F87" s="2"/>
      <c r="G87" s="2"/>
      <c r="H87" s="2" t="s">
        <v>65</v>
      </c>
      <c r="J87" s="4" t="s">
        <v>15</v>
      </c>
      <c r="K87" s="22"/>
    </row>
    <row r="88" spans="1:11" x14ac:dyDescent="0.25">
      <c r="A88" s="30"/>
      <c r="B88" s="2"/>
      <c r="C88" s="2"/>
      <c r="D88" s="2"/>
      <c r="E88" s="2"/>
      <c r="F88" s="2"/>
      <c r="G88" s="2"/>
      <c r="H88" s="2" t="s">
        <v>66</v>
      </c>
      <c r="J88" s="4" t="s">
        <v>15</v>
      </c>
      <c r="K88" s="22"/>
    </row>
    <row r="89" spans="1:11" x14ac:dyDescent="0.25">
      <c r="A89" s="30"/>
      <c r="B89" s="2"/>
      <c r="C89" s="2"/>
      <c r="D89" s="2"/>
      <c r="E89" s="2"/>
      <c r="F89" s="2"/>
      <c r="G89" s="2"/>
      <c r="H89" s="2" t="s">
        <v>52</v>
      </c>
      <c r="J89" s="4" t="s">
        <v>15</v>
      </c>
      <c r="K89" s="22"/>
    </row>
    <row r="90" spans="1:11" x14ac:dyDescent="0.25">
      <c r="A90" s="30"/>
      <c r="B90" s="2"/>
      <c r="C90" s="2"/>
      <c r="D90" s="2"/>
      <c r="E90" s="2"/>
      <c r="F90" s="2"/>
      <c r="G90" s="2"/>
      <c r="H90" s="2" t="s">
        <v>67</v>
      </c>
      <c r="J90" s="4" t="s">
        <v>15</v>
      </c>
      <c r="K90" s="22"/>
    </row>
    <row r="91" spans="1:11" x14ac:dyDescent="0.25">
      <c r="A91" s="30"/>
      <c r="B91" s="2"/>
      <c r="C91" s="2"/>
      <c r="D91" s="2"/>
      <c r="E91" s="2"/>
      <c r="F91" s="2"/>
      <c r="G91" s="2"/>
      <c r="H91" s="2" t="s">
        <v>68</v>
      </c>
      <c r="J91" s="4" t="s">
        <v>15</v>
      </c>
      <c r="K91" s="22"/>
    </row>
    <row r="92" spans="1:11" x14ac:dyDescent="0.25">
      <c r="A92" s="30"/>
      <c r="B92" s="2"/>
      <c r="C92" s="2"/>
      <c r="D92" s="2"/>
      <c r="E92" s="2"/>
      <c r="F92" s="2"/>
      <c r="G92" s="2"/>
      <c r="H92" s="2" t="s">
        <v>69</v>
      </c>
      <c r="J92" s="4" t="s">
        <v>15</v>
      </c>
      <c r="K92" s="22"/>
    </row>
    <row r="93" spans="1:11" x14ac:dyDescent="0.25">
      <c r="A93" s="30"/>
      <c r="B93" s="2">
        <v>3</v>
      </c>
      <c r="C93" s="2" t="s">
        <v>89</v>
      </c>
      <c r="D93" s="2" t="s">
        <v>33</v>
      </c>
      <c r="E93" s="2" t="s">
        <v>134</v>
      </c>
      <c r="F93" s="2">
        <v>6</v>
      </c>
      <c r="G93" s="2" t="s">
        <v>21</v>
      </c>
      <c r="H93" s="2" t="s">
        <v>70</v>
      </c>
      <c r="J93" s="4" t="s">
        <v>15</v>
      </c>
      <c r="K93" s="22"/>
    </row>
    <row r="94" spans="1:11" x14ac:dyDescent="0.25">
      <c r="A94" s="30"/>
      <c r="B94" s="2"/>
      <c r="C94" s="2"/>
      <c r="D94" s="2"/>
      <c r="E94" s="2"/>
      <c r="F94" s="2"/>
      <c r="G94" s="2"/>
      <c r="H94" s="2" t="s">
        <v>71</v>
      </c>
      <c r="J94" s="4" t="s">
        <v>15</v>
      </c>
      <c r="K94" s="22"/>
    </row>
    <row r="95" spans="1:11" x14ac:dyDescent="0.25">
      <c r="A95" s="30"/>
      <c r="B95" s="2"/>
      <c r="C95" s="2"/>
      <c r="D95" s="2"/>
      <c r="E95" s="2"/>
      <c r="F95" s="2"/>
      <c r="G95" s="2"/>
      <c r="H95" s="2" t="s">
        <v>53</v>
      </c>
      <c r="J95" s="4" t="s">
        <v>15</v>
      </c>
      <c r="K95" s="22"/>
    </row>
    <row r="96" spans="1:11" x14ac:dyDescent="0.25">
      <c r="A96" s="30"/>
      <c r="B96" s="2"/>
      <c r="C96" s="2"/>
      <c r="D96" s="2"/>
      <c r="E96" s="2"/>
      <c r="F96" s="2"/>
      <c r="G96" s="2"/>
      <c r="H96" s="2" t="s">
        <v>72</v>
      </c>
      <c r="J96" s="4" t="s">
        <v>15</v>
      </c>
      <c r="K96" s="22"/>
    </row>
    <row r="97" spans="1:11" x14ac:dyDescent="0.25">
      <c r="A97" s="30"/>
      <c r="B97" s="2">
        <v>4</v>
      </c>
      <c r="C97" s="2" t="s">
        <v>55</v>
      </c>
      <c r="D97" s="2"/>
      <c r="E97" s="2"/>
      <c r="F97" s="2"/>
      <c r="G97" s="2"/>
      <c r="H97" s="2" t="s">
        <v>54</v>
      </c>
      <c r="J97" s="4" t="s">
        <v>15</v>
      </c>
      <c r="K97" s="22"/>
    </row>
    <row r="98" spans="1:11" x14ac:dyDescent="0.25">
      <c r="A98" s="30"/>
      <c r="B98" s="2"/>
      <c r="C98" s="2"/>
      <c r="D98" s="2"/>
      <c r="E98" s="2"/>
      <c r="F98" s="2"/>
      <c r="G98" s="2"/>
      <c r="H98" s="2" t="s">
        <v>73</v>
      </c>
      <c r="J98" s="4" t="s">
        <v>15</v>
      </c>
      <c r="K98" s="22"/>
    </row>
    <row r="99" spans="1:11" x14ac:dyDescent="0.25">
      <c r="A99" s="30"/>
      <c r="B99" s="2">
        <v>5</v>
      </c>
      <c r="C99" s="2" t="s">
        <v>75</v>
      </c>
      <c r="D99" s="2" t="s">
        <v>11</v>
      </c>
      <c r="E99" s="2" t="s">
        <v>12</v>
      </c>
      <c r="F99" s="2">
        <v>4</v>
      </c>
      <c r="G99" s="2" t="s">
        <v>13</v>
      </c>
      <c r="H99" s="2" t="s">
        <v>112</v>
      </c>
      <c r="J99" s="24"/>
      <c r="K99" s="7" t="s">
        <v>15</v>
      </c>
    </row>
    <row r="100" spans="1:11" x14ac:dyDescent="0.25">
      <c r="A100" s="30"/>
      <c r="B100" s="2"/>
      <c r="C100" s="2"/>
      <c r="D100" s="2"/>
      <c r="E100" s="2"/>
      <c r="F100" s="2"/>
      <c r="G100" s="2"/>
      <c r="H100" s="2" t="s">
        <v>113</v>
      </c>
      <c r="J100" s="24"/>
      <c r="K100" s="7" t="s">
        <v>15</v>
      </c>
    </row>
    <row r="101" spans="1:11" x14ac:dyDescent="0.25">
      <c r="A101" s="30"/>
      <c r="B101" s="2"/>
      <c r="C101" s="2"/>
      <c r="D101" s="2"/>
      <c r="E101" s="2"/>
      <c r="F101" s="2"/>
      <c r="G101" s="2"/>
      <c r="H101" s="2" t="s">
        <v>114</v>
      </c>
      <c r="J101" s="24"/>
      <c r="K101" s="7" t="s">
        <v>15</v>
      </c>
    </row>
    <row r="102" spans="1:11" x14ac:dyDescent="0.25">
      <c r="A102" s="30"/>
      <c r="B102" s="2"/>
      <c r="C102" s="2"/>
      <c r="D102" s="2"/>
      <c r="E102" s="2"/>
      <c r="F102" s="2"/>
      <c r="G102" s="2"/>
      <c r="H102" s="2" t="s">
        <v>115</v>
      </c>
      <c r="J102" s="24"/>
      <c r="K102" s="7" t="s">
        <v>15</v>
      </c>
    </row>
    <row r="103" spans="1:11" x14ac:dyDescent="0.25">
      <c r="A103" s="30"/>
      <c r="B103" s="2">
        <v>6</v>
      </c>
      <c r="C103" s="2" t="s">
        <v>111</v>
      </c>
      <c r="D103" s="2" t="s">
        <v>11</v>
      </c>
      <c r="E103" s="2" t="s">
        <v>12</v>
      </c>
      <c r="F103" s="2">
        <v>4</v>
      </c>
      <c r="G103" s="2" t="s">
        <v>13</v>
      </c>
      <c r="H103" s="2" t="s">
        <v>116</v>
      </c>
      <c r="J103" s="24"/>
      <c r="K103" s="7" t="s">
        <v>15</v>
      </c>
    </row>
    <row r="104" spans="1:11" x14ac:dyDescent="0.25">
      <c r="A104" s="30"/>
      <c r="B104" s="2"/>
      <c r="C104" s="2"/>
      <c r="D104" s="2"/>
      <c r="E104" s="2"/>
      <c r="F104" s="2"/>
      <c r="G104" s="2"/>
      <c r="H104" s="2" t="s">
        <v>117</v>
      </c>
      <c r="J104" s="24"/>
      <c r="K104" s="7" t="s">
        <v>15</v>
      </c>
    </row>
    <row r="105" spans="1:11" x14ac:dyDescent="0.25">
      <c r="A105" s="30"/>
      <c r="B105" s="2"/>
      <c r="C105" s="2"/>
      <c r="D105" s="2"/>
      <c r="E105" s="2"/>
      <c r="F105" s="2"/>
      <c r="G105" s="2"/>
      <c r="H105" s="2" t="s">
        <v>118</v>
      </c>
      <c r="J105" s="24"/>
      <c r="K105" s="7" t="s">
        <v>15</v>
      </c>
    </row>
    <row r="106" spans="1:11" x14ac:dyDescent="0.25">
      <c r="A106" s="31"/>
      <c r="B106" s="12"/>
      <c r="C106" s="12"/>
      <c r="D106" s="12"/>
      <c r="E106" s="12"/>
      <c r="F106" s="12"/>
      <c r="G106" s="12"/>
      <c r="H106" s="12" t="s">
        <v>119</v>
      </c>
      <c r="I106" s="11"/>
      <c r="J106" s="27"/>
      <c r="K106" s="26" t="s">
        <v>15</v>
      </c>
    </row>
  </sheetData>
  <mergeCells count="9">
    <mergeCell ref="A79:A106"/>
    <mergeCell ref="A40:A45"/>
    <mergeCell ref="A46:A70"/>
    <mergeCell ref="A71:A78"/>
    <mergeCell ref="A1:K1"/>
    <mergeCell ref="A2:K2"/>
    <mergeCell ref="A24:A27"/>
    <mergeCell ref="A28:A39"/>
    <mergeCell ref="A4:A23"/>
  </mergeCells>
  <phoneticPr fontId="5" type="noConversion"/>
  <dataValidations count="3">
    <dataValidation type="list" allowBlank="1" showInputMessage="1" showErrorMessage="1" sqref="D4:D106" xr:uid="{54349673-DDCB-4BF8-AD7A-57E435C3CD97}">
      <formula1>"Tiles, Fitting"</formula1>
    </dataValidation>
    <dataValidation type="list" allowBlank="1" showInputMessage="1" showErrorMessage="1" sqref="E4:E106" xr:uid="{0F1F9BD4-1AB3-4E65-8808-72239849D00A}">
      <formula1>"Round, Rectangle, Point"</formula1>
    </dataValidation>
    <dataValidation type="list" allowBlank="1" showInputMessage="1" showErrorMessage="1" sqref="G4:G106" xr:uid="{55E61CC2-6F3B-4803-B406-60B5D74BA27B}">
      <formula1>"LP,TMP"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9F74FD6C93414BACF2D33AB9B46B1F" ma:contentTypeVersion="15" ma:contentTypeDescription="Create a new document." ma:contentTypeScope="" ma:versionID="85e183139a7bf430a5cd367af777ffd1">
  <xsd:schema xmlns:xsd="http://www.w3.org/2001/XMLSchema" xmlns:xs="http://www.w3.org/2001/XMLSchema" xmlns:p="http://schemas.microsoft.com/office/2006/metadata/properties" xmlns:ns3="d7b47298-7dbc-4c4a-b955-e35738c83845" xmlns:ns4="4c7a27d0-c111-49d1-947f-3e415c425751" targetNamespace="http://schemas.microsoft.com/office/2006/metadata/properties" ma:root="true" ma:fieldsID="5e8b728fb78f9c3c3084b9e953d972a7" ns3:_="" ns4:_="">
    <xsd:import namespace="d7b47298-7dbc-4c4a-b955-e35738c83845"/>
    <xsd:import namespace="4c7a27d0-c111-49d1-947f-3e415c42575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b47298-7dbc-4c4a-b955-e35738c838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7a27d0-c111-49d1-947f-3e415c42575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b47298-7dbc-4c4a-b955-e35738c83845" xsi:nil="true"/>
  </documentManagement>
</p:properties>
</file>

<file path=customXml/itemProps1.xml><?xml version="1.0" encoding="utf-8"?>
<ds:datastoreItem xmlns:ds="http://schemas.openxmlformats.org/officeDocument/2006/customXml" ds:itemID="{0006E415-A18B-4726-A1A0-54EC3A4B065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AFAC10-0FD0-4107-B657-53CDB5D6D5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b47298-7dbc-4c4a-b955-e35738c83845"/>
    <ds:schemaRef ds:uri="4c7a27d0-c111-49d1-947f-3e415c4257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34F84B-F271-4B1B-8B21-90DAF7F40D50}">
  <ds:schemaRefs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4c7a27d0-c111-49d1-947f-3e415c425751"/>
    <ds:schemaRef ds:uri="d7b47298-7dbc-4c4a-b955-e35738c83845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Mok Zhi Zhuan</dc:creator>
  <cp:lastModifiedBy>Mok Zhi Zhuan</cp:lastModifiedBy>
  <dcterms:created xsi:type="dcterms:W3CDTF">2025-04-25T01:24:39Z</dcterms:created>
  <dcterms:modified xsi:type="dcterms:W3CDTF">2025-05-22T10:31:56Z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0x010100EA9F74FD6C93414BACF2D33AB9B46B1F</vt:lpwstr>
  </property>
</Properties>
</file>